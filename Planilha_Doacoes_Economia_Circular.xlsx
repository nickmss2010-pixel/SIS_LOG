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Nicolas55687666\Downloads\"/>
    </mc:Choice>
  </mc:AlternateContent>
  <bookViews>
    <workbookView xWindow="0" yWindow="0" windowWidth="28800" windowHeight="12210"/>
  </bookViews>
  <sheets>
    <sheet name="Matriz de Rastreabilidade" sheetId="1" r:id="rId1"/>
    <sheet name="Cadastro de Doações" sheetId="2" r:id="rId2"/>
    <sheet name="Resumo MVP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</calcChain>
</file>

<file path=xl/sharedStrings.xml><?xml version="1.0" encoding="utf-8"?>
<sst xmlns="http://schemas.openxmlformats.org/spreadsheetml/2006/main" count="153" uniqueCount="128">
  <si>
    <t>ID</t>
  </si>
  <si>
    <t>Tipo</t>
  </si>
  <si>
    <t>Requisito / Regra</t>
  </si>
  <si>
    <t>Critério de Aceite</t>
  </si>
  <si>
    <t>Tela / MVP</t>
  </si>
  <si>
    <t>Status</t>
  </si>
  <si>
    <t>RF01</t>
  </si>
  <si>
    <t>Ação Principal</t>
  </si>
  <si>
    <t>Must Have</t>
  </si>
  <si>
    <t>Tela 01 — Cadastro/Login</t>
  </si>
  <si>
    <t>Planejado</t>
  </si>
  <si>
    <t>RF02</t>
  </si>
  <si>
    <t>Ação Secundária</t>
  </si>
  <si>
    <t>RF03</t>
  </si>
  <si>
    <t>Recurso Extra</t>
  </si>
  <si>
    <t>Permitir cadastro de itens para doação com categoria, descrição, quantidade, foto e estado de conservação.</t>
  </si>
  <si>
    <t>Tela 02 — Cadastrar Doação</t>
  </si>
  <si>
    <t>RN01</t>
  </si>
  <si>
    <t>Regra de Validação</t>
  </si>
  <si>
    <t>Tela 02 — Validação do Item</t>
  </si>
  <si>
    <t>RN02</t>
  </si>
  <si>
    <t>Condição de Fluxo</t>
  </si>
  <si>
    <t>Somente ONGs com cadastro validado podem confirmar o recebimento de uma doação.</t>
  </si>
  <si>
    <t>Tela 03 — Perfil da ONG</t>
  </si>
  <si>
    <t>RN03</t>
  </si>
  <si>
    <t>Cálculo/Restrição</t>
  </si>
  <si>
    <t>A plataforma deve priorizar na busca ONGs e doações mais próximas usando geolocalização.</t>
  </si>
  <si>
    <t>Tela 04 — Mapa/Busca</t>
  </si>
  <si>
    <t>RF04</t>
  </si>
  <si>
    <t>Should Have</t>
  </si>
  <si>
    <t>Tela 05 — Necessidades da ONG</t>
  </si>
  <si>
    <t>Disponibilizar histórico de doações realizadas e recebidas.</t>
  </si>
  <si>
    <t>Could Have</t>
  </si>
  <si>
    <t>Tela 08 — Histórico</t>
  </si>
  <si>
    <t>Permitir contato entre doador e ONG após uma solicitação aceita.</t>
  </si>
  <si>
    <t>Tela 09 — Contato/Entrega</t>
  </si>
  <si>
    <t>CONTROLE DE DOAÇÕES — MVP</t>
  </si>
  <si>
    <t>ID Doação</t>
  </si>
  <si>
    <t>Doador</t>
  </si>
  <si>
    <t>Item</t>
  </si>
  <si>
    <t>Categoria</t>
  </si>
  <si>
    <t>Quantidade</t>
  </si>
  <si>
    <t>Condição</t>
  </si>
  <si>
    <t>ONG Destino</t>
  </si>
  <si>
    <t>Cidade/Localização</t>
  </si>
  <si>
    <t>Data</t>
  </si>
  <si>
    <t>D001</t>
  </si>
  <si>
    <t>Ana Souza</t>
  </si>
  <si>
    <t>Roupas infantis</t>
  </si>
  <si>
    <t>Vestuário</t>
  </si>
  <si>
    <t>Bom estado</t>
  </si>
  <si>
    <t>ONG Sementes</t>
  </si>
  <si>
    <t>Taguatinga/DF</t>
  </si>
  <si>
    <t>Disponível</t>
  </si>
  <si>
    <t>02/09/2026</t>
  </si>
  <si>
    <t>D002</t>
  </si>
  <si>
    <t>Carlos Lima</t>
  </si>
  <si>
    <t>Cesta de alimentos</t>
  </si>
  <si>
    <t>Alimentos</t>
  </si>
  <si>
    <t>Dentro da validade</t>
  </si>
  <si>
    <t>Instituto Esperança</t>
  </si>
  <si>
    <t>Ceilândia/DF</t>
  </si>
  <si>
    <t>Reservada</t>
  </si>
  <si>
    <t>D003</t>
  </si>
  <si>
    <t>Marina Alves</t>
  </si>
  <si>
    <t>Mesa de escritório</t>
  </si>
  <si>
    <t>Móveis</t>
  </si>
  <si>
    <t>Usado/Bom</t>
  </si>
  <si>
    <t>Projeto Recomeço</t>
  </si>
  <si>
    <t>Águas Claras/DF</t>
  </si>
  <si>
    <t>Entregue</t>
  </si>
  <si>
    <t>01/09/2026</t>
  </si>
  <si>
    <t>D004</t>
  </si>
  <si>
    <t>João Pereira</t>
  </si>
  <si>
    <t>Livros didáticos</t>
  </si>
  <si>
    <t>Livros</t>
  </si>
  <si>
    <t>Samambaia/DF</t>
  </si>
  <si>
    <t>31/08/2026</t>
  </si>
  <si>
    <t>D005</t>
  </si>
  <si>
    <t>Fernanda Rocha</t>
  </si>
  <si>
    <t>Notebook</t>
  </si>
  <si>
    <t>Eletrônicos</t>
  </si>
  <si>
    <t>Funcionando</t>
  </si>
  <si>
    <t>ONG Futuro Digital</t>
  </si>
  <si>
    <t>Brasília/DF</t>
  </si>
  <si>
    <t>30/08/2026</t>
  </si>
  <si>
    <t>RESUMO — PLATAFORMA DE DOAÇÕES</t>
  </si>
  <si>
    <t>Indicador</t>
  </si>
  <si>
    <t>Valor</t>
  </si>
  <si>
    <t>Total de requisitos</t>
  </si>
  <si>
    <t>Doações cadastradas</t>
  </si>
  <si>
    <t>Fluxo do MVP</t>
  </si>
  <si>
    <t>1</t>
  </si>
  <si>
    <t>2</t>
  </si>
  <si>
    <t>3</t>
  </si>
  <si>
    <t>4</t>
  </si>
  <si>
    <t>5</t>
  </si>
  <si>
    <t>Etapas</t>
  </si>
  <si>
    <t>Cadastro</t>
  </si>
  <si>
    <t>Cadastrar item</t>
  </si>
  <si>
    <t>Buscar por localização</t>
  </si>
  <si>
    <t>ONG solicita</t>
  </si>
  <si>
    <t>Entrega concluída</t>
  </si>
  <si>
    <t>Objetivo</t>
  </si>
  <si>
    <t>Conectar doadores</t>
  </si>
  <si>
    <t>Validar itens</t>
  </si>
  <si>
    <t>Encontrar proximidade</t>
  </si>
  <si>
    <t>Reservar doação</t>
  </si>
  <si>
    <t>Registrar impacto</t>
  </si>
  <si>
    <t>Usuários</t>
  </si>
  <si>
    <t>Doador / ONG</t>
  </si>
  <si>
    <t>ONG</t>
  </si>
  <si>
    <t>Prioridade</t>
  </si>
  <si>
    <t>RF05</t>
  </si>
  <si>
    <t>RF06</t>
  </si>
  <si>
    <t>Dado que a ONG informou os dados obrigatórios, quando enviar o cadastro</t>
  </si>
  <si>
    <t>Dado que informei os campos obrigatórios, quando confirmar o cadastro</t>
  </si>
  <si>
    <t>Dado que estou autenticado, quando cadastrar um item válido</t>
  </si>
  <si>
    <t>Dado um item incompleto, quando tentar publicá-lo</t>
  </si>
  <si>
    <t>Dado que uma ONG não foi validada, quando tentar confirmar uma doação</t>
  </si>
  <si>
    <t>Dado que a localização foi autorizada, quando pesquisar</t>
  </si>
  <si>
    <t>Dado que estou autenticado como ONG, quando salvar uma necessidade</t>
  </si>
  <si>
    <t>Dado que houve doações concluídas, quando acessar o histórico</t>
  </si>
  <si>
    <t>Dado que a solicitação foi aceita, quando acessar a doação</t>
  </si>
  <si>
    <t>Cadastrar doador com nome, e-mail e senha</t>
  </si>
  <si>
    <t>Cadastrar ONG com dados institucionais</t>
  </si>
  <si>
    <t>Itens devem possuir categoria e descrição</t>
  </si>
  <si>
    <t>Permitir que a ONG informe categorias e quantidades de itens.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</si>
</sst>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</fills>
  <borders count="9">
    <border>
      <left/>
      <right/>
      <top/>
      <bottom/>
      <diagonal/>
    </border>
    <border>
      <left style="thin">
        <color rgb="FFB7C8B9"/>
      </left>
      <right/>
      <top style="thin">
        <color rgb="FFB7C8B9"/>
      </top>
      <bottom/>
      <diagonal/>
    </border>
    <border>
      <left/>
      <right/>
      <top style="thin">
        <color rgb="FFB7C8B9"/>
      </top>
      <bottom/>
      <diagonal/>
    </border>
    <border>
      <left/>
      <right style="thin">
        <color rgb="FFB7C8B9"/>
      </right>
      <top style="thin">
        <color rgb="FFB7C8B9"/>
      </top>
      <bottom/>
      <diagonal/>
    </border>
    <border>
      <left style="thin">
        <color rgb="FFB7C8B9"/>
      </left>
      <right/>
      <top/>
      <bottom/>
      <diagonal/>
    </border>
    <border>
      <left/>
      <right style="thin">
        <color rgb="FFB7C8B9"/>
      </right>
      <top/>
      <bottom/>
      <diagonal/>
    </border>
    <border>
      <left style="thin">
        <color rgb="FFB7C8B9"/>
      </left>
      <right/>
      <top/>
      <bottom style="thin">
        <color rgb="FFB7C8B9"/>
      </bottom>
      <diagonal/>
    </border>
    <border>
      <left/>
      <right/>
      <top/>
      <bottom style="thin">
        <color rgb="FFB7C8B9"/>
      </bottom>
      <diagonal/>
    </border>
    <border>
      <left/>
      <right style="thin">
        <color rgb="FFB7C8B9"/>
      </right>
      <top/>
      <bottom style="thin">
        <color rgb="FFB7C8B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2" fillId="3" borderId="1" xfId="0" applyNumberFormat="1" applyFont="1" applyFill="1" applyBorder="1"/>
    <xf numFmtId="0" fontId="2" fillId="3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8" xfId="0" applyNumberFormat="1" applyFont="1" applyFill="1" applyBorder="1"/>
    <xf numFmtId="0" fontId="2" fillId="3" borderId="1" xfId="0" applyNumberFormat="1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FFF3CD"/>
        </patternFill>
      </fill>
    </dxf>
    <dxf>
      <font>
        <b/>
      </font>
      <fill>
        <patternFill patternType="solid">
          <bgColor rgb="FFC8E6C9"/>
        </patternFill>
      </fill>
    </dxf>
    <dxf>
      <fill>
        <patternFill patternType="solid">
          <bgColor rgb="FFC8E6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Distribuição de Prioridades MoSCoW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'Resumo MVP'!$A$4:$A$7</c:f>
              <c:strCache>
                <c:ptCount val="4"/>
                <c:pt idx="0">
                  <c:v>Total de requisitos</c:v>
                </c:pt>
                <c:pt idx="1">
                  <c:v>Must Have</c:v>
                </c:pt>
                <c:pt idx="2">
                  <c:v>Should Have</c:v>
                </c:pt>
                <c:pt idx="3">
                  <c:v>Could Have</c:v>
                </c:pt>
              </c:strCache>
            </c:strRef>
          </c:cat>
          <c:val>
            <c:numRef>
              <c:f>'Resumo MVP'!$B$4:$B$7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D-3D47-A59B-0FFEA9D76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atrizRequisitos" displayName="MatrizRequisitos" ref="A2:F12" totalsRowShown="0">
  <tableColumns count="6">
    <tableColumn id="1" name="ID"/>
    <tableColumn id="2" name="Tipo"/>
    <tableColumn id="3" name="Requisito / Regra"/>
    <tableColumn id="5" name="Critério de Aceite"/>
    <tableColumn id="7" name="Tela / MVP"/>
    <tableColumn id="8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dastroDoacoes" displayName="CadastroDoacoes" ref="A3:J30" totalsRowShown="0">
  <tableColumns count="10">
    <tableColumn id="1" name="ID Doação"/>
    <tableColumn id="2" name="Doador"/>
    <tableColumn id="3" name="Item"/>
    <tableColumn id="4" name="Categoria"/>
    <tableColumn id="5" name="Quantidade"/>
    <tableColumn id="6" name="Condição"/>
    <tableColumn id="7" name="ONG Destino"/>
    <tableColumn id="8" name="Cidade/Localização"/>
    <tableColumn id="9" name="Status"/>
    <tableColumn id="10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Normal="60" zoomScaleSheetLayoutView="100" workbookViewId="0">
      <selection activeCell="G4" sqref="G4"/>
    </sheetView>
  </sheetViews>
  <sheetFormatPr defaultRowHeight="14.25"/>
  <cols>
    <col min="1" max="1" width="10" customWidth="1"/>
    <col min="2" max="2" width="18" customWidth="1"/>
    <col min="3" max="3" width="37.875" customWidth="1"/>
    <col min="4" max="4" width="43" customWidth="1"/>
    <col min="5" max="5" width="48" customWidth="1"/>
    <col min="6" max="6" width="16" customWidth="1"/>
    <col min="7" max="7" width="27" customWidth="1"/>
    <col min="8" max="8" width="16" customWidth="1"/>
  </cols>
  <sheetData>
    <row r="1" spans="1:6" ht="27.95" customHeight="1"/>
    <row r="2" spans="1:6" ht="33.950000000000003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28.5">
      <c r="A3" s="6" t="s">
        <v>6</v>
      </c>
      <c r="B3" s="2" t="s">
        <v>7</v>
      </c>
      <c r="C3" s="2" t="s">
        <v>124</v>
      </c>
      <c r="D3" s="2" t="s">
        <v>116</v>
      </c>
      <c r="E3" s="2" t="s">
        <v>9</v>
      </c>
      <c r="F3" s="7" t="s">
        <v>10</v>
      </c>
    </row>
    <row r="4" spans="1:6" ht="30">
      <c r="A4" s="6" t="s">
        <v>11</v>
      </c>
      <c r="B4" s="2" t="s">
        <v>12</v>
      </c>
      <c r="C4" s="2" t="s">
        <v>125</v>
      </c>
      <c r="D4" s="2" t="s">
        <v>115</v>
      </c>
      <c r="E4" s="2" t="s">
        <v>9</v>
      </c>
      <c r="F4" s="7" t="s">
        <v>10</v>
      </c>
    </row>
    <row r="5" spans="1:6" ht="57.95" customHeight="1">
      <c r="A5" s="6" t="s">
        <v>13</v>
      </c>
      <c r="B5" s="2" t="s">
        <v>14</v>
      </c>
      <c r="C5" s="2" t="s">
        <v>15</v>
      </c>
      <c r="D5" s="2" t="s">
        <v>117</v>
      </c>
      <c r="E5" s="2" t="s">
        <v>16</v>
      </c>
      <c r="F5" s="7" t="s">
        <v>10</v>
      </c>
    </row>
    <row r="6" spans="1:6" ht="57.95" customHeight="1">
      <c r="A6" s="6" t="s">
        <v>17</v>
      </c>
      <c r="B6" s="2" t="s">
        <v>18</v>
      </c>
      <c r="C6" s="2" t="s">
        <v>126</v>
      </c>
      <c r="D6" s="2" t="s">
        <v>118</v>
      </c>
      <c r="E6" s="2" t="s">
        <v>19</v>
      </c>
      <c r="F6" s="7" t="s">
        <v>10</v>
      </c>
    </row>
    <row r="7" spans="1:6" ht="57.95" customHeight="1">
      <c r="A7" s="6" t="s">
        <v>20</v>
      </c>
      <c r="B7" s="2" t="s">
        <v>21</v>
      </c>
      <c r="C7" s="2" t="s">
        <v>22</v>
      </c>
      <c r="D7" s="2" t="s">
        <v>119</v>
      </c>
      <c r="E7" s="2" t="s">
        <v>23</v>
      </c>
      <c r="F7" s="7" t="s">
        <v>10</v>
      </c>
    </row>
    <row r="8" spans="1:6" ht="57.95" customHeight="1">
      <c r="A8" s="6" t="s">
        <v>24</v>
      </c>
      <c r="B8" s="2" t="s">
        <v>25</v>
      </c>
      <c r="C8" s="2" t="s">
        <v>26</v>
      </c>
      <c r="D8" s="2" t="s">
        <v>120</v>
      </c>
      <c r="E8" s="2" t="s">
        <v>27</v>
      </c>
      <c r="F8" s="7" t="s">
        <v>10</v>
      </c>
    </row>
    <row r="9" spans="1:6" ht="57.95" customHeight="1">
      <c r="A9" s="6" t="s">
        <v>28</v>
      </c>
      <c r="B9" s="2" t="s">
        <v>7</v>
      </c>
      <c r="C9" s="2" t="s">
        <v>127</v>
      </c>
      <c r="D9" s="2" t="s">
        <v>121</v>
      </c>
      <c r="E9" s="2" t="s">
        <v>30</v>
      </c>
      <c r="F9" s="7" t="s">
        <v>10</v>
      </c>
    </row>
    <row r="10" spans="1:6" ht="57.95" customHeight="1">
      <c r="A10" s="6" t="s">
        <v>113</v>
      </c>
      <c r="B10" s="2" t="s">
        <v>14</v>
      </c>
      <c r="C10" s="2" t="s">
        <v>31</v>
      </c>
      <c r="D10" s="2" t="s">
        <v>122</v>
      </c>
      <c r="E10" s="2" t="s">
        <v>33</v>
      </c>
      <c r="F10" s="7" t="s">
        <v>10</v>
      </c>
    </row>
    <row r="11" spans="1:6" ht="57.95" customHeight="1">
      <c r="A11" s="6" t="s">
        <v>114</v>
      </c>
      <c r="B11" s="2" t="s">
        <v>14</v>
      </c>
      <c r="C11" s="2" t="s">
        <v>34</v>
      </c>
      <c r="D11" s="2" t="s">
        <v>123</v>
      </c>
      <c r="E11" s="2" t="s">
        <v>35</v>
      </c>
      <c r="F11" s="7" t="s">
        <v>10</v>
      </c>
    </row>
    <row r="12" spans="1:6" ht="57.95" customHeight="1">
      <c r="A12" s="8"/>
      <c r="B12" s="9"/>
      <c r="C12" s="9"/>
      <c r="D12" s="9"/>
      <c r="E12" s="9"/>
      <c r="F12" s="10"/>
    </row>
    <row r="13" spans="1:6" ht="57.95" customHeight="1"/>
    <row r="14" spans="1:6" ht="57.95" customHeight="1"/>
    <row r="15" spans="1:6" ht="57.95" customHeight="1"/>
    <row r="16" spans="1:6" ht="57.95" customHeight="1"/>
  </sheetData>
  <conditionalFormatting sqref="F3:F12">
    <cfRule type="expression" dxfId="2" priority="2">
      <formula>F3="Concluído"</formula>
    </cfRule>
  </conditionalFormatting>
  <dataValidations count="1">
    <dataValidation type="list" sqref="F3:F12">
      <formula1>"Planejado,Em andamento,Concluído,Bloqueado"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Normal="60" zoomScaleSheetLayoutView="100" workbookViewId="0"/>
  </sheetViews>
  <sheetFormatPr defaultRowHeight="14.25"/>
  <cols>
    <col min="1" max="1" width="12" customWidth="1"/>
    <col min="2" max="2" width="20" customWidth="1"/>
    <col min="3" max="3" width="28" customWidth="1"/>
    <col min="4" max="4" width="18" customWidth="1"/>
    <col min="5" max="5" width="12" customWidth="1"/>
    <col min="6" max="6" width="20" customWidth="1"/>
    <col min="7" max="7" width="25" customWidth="1"/>
    <col min="8" max="8" width="24" customWidth="1"/>
    <col min="9" max="9" width="16" customWidth="1"/>
    <col min="10" max="10" width="14.875" customWidth="1"/>
  </cols>
  <sheetData>
    <row r="1" spans="1:10" ht="19.5">
      <c r="A1" s="20" t="s">
        <v>36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1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5</v>
      </c>
      <c r="J3" s="1" t="s">
        <v>45</v>
      </c>
    </row>
    <row r="4" spans="1:10">
      <c r="A4" s="2" t="s">
        <v>46</v>
      </c>
      <c r="B4" s="2" t="s">
        <v>47</v>
      </c>
      <c r="C4" s="2" t="s">
        <v>48</v>
      </c>
      <c r="D4" s="2" t="s">
        <v>49</v>
      </c>
      <c r="E4" s="2">
        <v>12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</row>
    <row r="5" spans="1:10">
      <c r="A5" s="2" t="s">
        <v>55</v>
      </c>
      <c r="B5" s="2" t="s">
        <v>56</v>
      </c>
      <c r="C5" s="2" t="s">
        <v>57</v>
      </c>
      <c r="D5" s="2" t="s">
        <v>58</v>
      </c>
      <c r="E5" s="2">
        <v>3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54</v>
      </c>
    </row>
    <row r="6" spans="1:10" ht="15">
      <c r="A6" s="2" t="s">
        <v>63</v>
      </c>
      <c r="B6" s="2" t="s">
        <v>64</v>
      </c>
      <c r="C6" s="2" t="s">
        <v>65</v>
      </c>
      <c r="D6" s="2" t="s">
        <v>66</v>
      </c>
      <c r="E6" s="2">
        <v>1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</row>
    <row r="7" spans="1:10">
      <c r="A7" s="2" t="s">
        <v>72</v>
      </c>
      <c r="B7" s="2" t="s">
        <v>73</v>
      </c>
      <c r="C7" s="2" t="s">
        <v>74</v>
      </c>
      <c r="D7" s="2" t="s">
        <v>75</v>
      </c>
      <c r="E7" s="2">
        <v>20</v>
      </c>
      <c r="F7" s="2" t="s">
        <v>50</v>
      </c>
      <c r="G7" s="2"/>
      <c r="H7" s="2" t="s">
        <v>76</v>
      </c>
      <c r="I7" s="2" t="s">
        <v>53</v>
      </c>
      <c r="J7" s="2" t="s">
        <v>77</v>
      </c>
    </row>
    <row r="8" spans="1:10">
      <c r="A8" s="2" t="s">
        <v>78</v>
      </c>
      <c r="B8" s="2" t="s">
        <v>79</v>
      </c>
      <c r="C8" s="2" t="s">
        <v>80</v>
      </c>
      <c r="D8" s="2" t="s">
        <v>81</v>
      </c>
      <c r="E8" s="2">
        <v>1</v>
      </c>
      <c r="F8" s="2" t="s">
        <v>82</v>
      </c>
      <c r="G8" s="2" t="s">
        <v>83</v>
      </c>
      <c r="H8" s="2" t="s">
        <v>84</v>
      </c>
      <c r="I8" s="2" t="s">
        <v>62</v>
      </c>
      <c r="J8" s="2" t="s">
        <v>85</v>
      </c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</sheetData>
  <mergeCells count="1">
    <mergeCell ref="A1:J1"/>
  </mergeCells>
  <conditionalFormatting sqref="I4:I100">
    <cfRule type="expression" dxfId="1" priority="1">
      <formula>I4="Entregue"</formula>
    </cfRule>
    <cfRule type="expression" dxfId="0" priority="2">
      <formula>I4="Reservada"</formula>
    </cfRule>
  </conditionalFormatting>
  <dataValidations count="2">
    <dataValidation type="list" sqref="D4:D100">
      <formula1>"Vestuário,Alimentos,Móveis,Livros,Eletrônicos,Higiene,Brinquedos,Outros"</formula1>
    </dataValidation>
    <dataValidation type="list" sqref="I4:I100">
      <formula1>"Disponível,Reservada,Entregue,Cancelada"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Normal="60" zoomScaleSheetLayoutView="100" workbookViewId="0"/>
  </sheetViews>
  <sheetFormatPr defaultRowHeight="14.25"/>
  <cols>
    <col min="1" max="1" width="24" customWidth="1"/>
    <col min="2" max="6" width="22" customWidth="1"/>
  </cols>
  <sheetData>
    <row r="1" spans="1:6" ht="20.25">
      <c r="A1" s="21" t="s">
        <v>86</v>
      </c>
      <c r="B1" s="21"/>
      <c r="C1" s="21"/>
      <c r="D1" s="21"/>
      <c r="E1" s="21"/>
      <c r="F1" s="21"/>
    </row>
    <row r="3" spans="1:6" ht="15">
      <c r="A3" s="11" t="s">
        <v>87</v>
      </c>
      <c r="B3" s="12" t="s">
        <v>88</v>
      </c>
    </row>
    <row r="4" spans="1:6">
      <c r="A4" s="13" t="s">
        <v>89</v>
      </c>
      <c r="B4" s="14">
        <v>12</v>
      </c>
    </row>
    <row r="5" spans="1:6">
      <c r="A5" s="13" t="s">
        <v>8</v>
      </c>
      <c r="B5" s="14" t="e">
        <f>COUNTIF('Matriz de Rastreabilidade'!#REF!,"Must Have")</f>
        <v>#REF!</v>
      </c>
    </row>
    <row r="6" spans="1:6">
      <c r="A6" s="13" t="s">
        <v>29</v>
      </c>
      <c r="B6" s="14" t="e">
        <f>COUNTIF('Matriz de Rastreabilidade'!#REF!,"Should Have")</f>
        <v>#REF!</v>
      </c>
    </row>
    <row r="7" spans="1:6">
      <c r="A7" s="13" t="s">
        <v>32</v>
      </c>
      <c r="B7" s="14" t="e">
        <f>COUNTIF('Matriz de Rastreabilidade'!#REF!,"Could Have")</f>
        <v>#REF!</v>
      </c>
    </row>
    <row r="8" spans="1:6">
      <c r="A8" s="15" t="s">
        <v>90</v>
      </c>
      <c r="B8" s="16">
        <f>COUNTA('Cadastro de Doações'!A4:A30)</f>
        <v>5</v>
      </c>
    </row>
    <row r="10" spans="1:6" ht="15">
      <c r="A10" s="17" t="s">
        <v>91</v>
      </c>
      <c r="B10" s="18" t="s">
        <v>92</v>
      </c>
      <c r="C10" s="18" t="s">
        <v>93</v>
      </c>
      <c r="D10" s="18" t="s">
        <v>94</v>
      </c>
      <c r="E10" s="18" t="s">
        <v>95</v>
      </c>
      <c r="F10" s="19" t="s">
        <v>96</v>
      </c>
    </row>
    <row r="11" spans="1:6">
      <c r="A11" s="6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7" t="s">
        <v>102</v>
      </c>
    </row>
    <row r="12" spans="1:6">
      <c r="A12" s="6"/>
      <c r="B12" s="2"/>
      <c r="C12" s="2"/>
      <c r="D12" s="2"/>
      <c r="E12" s="2"/>
      <c r="F12" s="7"/>
    </row>
    <row r="13" spans="1:6">
      <c r="A13" s="6" t="s">
        <v>103</v>
      </c>
      <c r="B13" s="2" t="s">
        <v>104</v>
      </c>
      <c r="C13" s="2" t="s">
        <v>105</v>
      </c>
      <c r="D13" s="2" t="s">
        <v>106</v>
      </c>
      <c r="E13" s="2" t="s">
        <v>107</v>
      </c>
      <c r="F13" s="7" t="s">
        <v>108</v>
      </c>
    </row>
    <row r="14" spans="1:6">
      <c r="A14" s="6" t="s">
        <v>109</v>
      </c>
      <c r="B14" s="2" t="s">
        <v>110</v>
      </c>
      <c r="C14" s="2" t="s">
        <v>38</v>
      </c>
      <c r="D14" s="2" t="s">
        <v>110</v>
      </c>
      <c r="E14" s="2" t="s">
        <v>111</v>
      </c>
      <c r="F14" s="7" t="s">
        <v>110</v>
      </c>
    </row>
    <row r="15" spans="1:6">
      <c r="A15" s="8" t="s">
        <v>112</v>
      </c>
      <c r="B15" s="9" t="s">
        <v>8</v>
      </c>
      <c r="C15" s="9" t="s">
        <v>8</v>
      </c>
      <c r="D15" s="9" t="s">
        <v>8</v>
      </c>
      <c r="E15" s="9" t="s">
        <v>8</v>
      </c>
      <c r="F15" s="10" t="s">
        <v>29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de Rastreabilidade</vt:lpstr>
      <vt:lpstr>Cadastro de Doações</vt:lpstr>
      <vt:lpstr>Resumo 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Nicolas Matheus dos Santos Silveira</cp:lastModifiedBy>
  <dcterms:created xsi:type="dcterms:W3CDTF">2026-09-03T15:14:02Z</dcterms:created>
  <dcterms:modified xsi:type="dcterms:W3CDTF">2026-09-03T18:26:54Z</dcterms:modified>
</cp:coreProperties>
</file>